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70\Downloads\"/>
    </mc:Choice>
  </mc:AlternateContent>
  <bookViews>
    <workbookView xWindow="0" yWindow="0" windowWidth="19200" windowHeight="7050" activeTab="1"/>
  </bookViews>
  <sheets>
    <sheet name="Preguntas" sheetId="1" r:id="rId1"/>
    <sheet name="Resultado" sheetId="2" r:id="rId2"/>
  </sheets>
  <calcPr calcId="162913"/>
</workbook>
</file>

<file path=xl/calcChain.xml><?xml version="1.0" encoding="utf-8"?>
<calcChain xmlns="http://schemas.openxmlformats.org/spreadsheetml/2006/main">
  <c r="B5" i="2" l="1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4" i="2"/>
  <c r="C4" i="2" s="1"/>
  <c r="D5" i="2" l="1"/>
  <c r="D7" i="2"/>
  <c r="D9" i="2"/>
  <c r="D11" i="2"/>
  <c r="D6" i="2"/>
  <c r="D8" i="2"/>
  <c r="D10" i="2"/>
  <c r="D4" i="2"/>
</calcChain>
</file>

<file path=xl/sharedStrings.xml><?xml version="1.0" encoding="utf-8"?>
<sst xmlns="http://schemas.openxmlformats.org/spreadsheetml/2006/main" count="58" uniqueCount="58">
  <si>
    <t>Cuestionario para identificar tu ancla de carrera</t>
  </si>
  <si>
    <t>Respuesta (1=Nunca, 6=Siempre)</t>
  </si>
  <si>
    <t>Pregunta</t>
  </si>
  <si>
    <t>Nº pre-gunta</t>
  </si>
  <si>
    <t>Resultado</t>
  </si>
  <si>
    <t>Me gustaría ser tan bueno en lo que hago que la gente me pida continuamente consejos y sugerencias</t>
  </si>
  <si>
    <t>Me encuentro más satisfecho con mi trabajo cuando puedo integrar y gestionar los esfuerzos de los demás</t>
  </si>
  <si>
    <t>Me gustaría tener una carrera que me permita autonomía y decidir los plazos</t>
  </si>
  <si>
    <t>La seguridad y la estabilidad son más importantes para mí que la libertad y autonomía</t>
  </si>
  <si>
    <t>Siempre estoy buscando ideas que me permitan tener mi propio negocio</t>
  </si>
  <si>
    <t>Considero que alcanzo el éxito en mi carrera sólo si tengo la sensación de haber contribuido al bienestar común</t>
  </si>
  <si>
    <t>Me gustaría una carrera en la que pueda resolver problemas o salir ganando en situaciones muy desafiantes</t>
  </si>
  <si>
    <t>Preferiría dejar mi empresa antes que ocupar un puesto que comprometiera mi atención a mi familia y vida personal</t>
  </si>
  <si>
    <t>Para mí el éxito consiste en desarrollar mis capacidades técnicas o funcionales hasta convertirme en un experto</t>
  </si>
  <si>
    <t>Me gustaría estar a cargo de una organización compleja y tomar decisiones que afecten a muchas personas</t>
  </si>
  <si>
    <t>Estoy más satisfecho cuando tengo plena libertad para definitr mis propias actividades, plazos y procedimientos</t>
  </si>
  <si>
    <t>Preferiría dejar mi empresa antes que aceptar un proyecto que afectara mi seguridad dentro de la organización</t>
  </si>
  <si>
    <t>Crear mi propio negocio es más importante que alcanzar un puesto directivo de alto nivel en otra organización</t>
  </si>
  <si>
    <t>Me encuentro más satisfecho con mi carrera cuando puedo poner mi talento al servicio de los demás</t>
  </si>
  <si>
    <t>Me gustaría una carrera que me permita integrar mis necesidades personales, familiares y profesionales</t>
  </si>
  <si>
    <t>Alcanzo el éxito en mi carrera sólo si me enfrento y supero grandes desafíos y retos</t>
  </si>
  <si>
    <t>Me atrae más llegar a ser un directivo senior dentro de mi área funcional antes que llegar a ser Director General</t>
  </si>
  <si>
    <t>Alcanzo el éxito en mi carrera sólo si llego a ser director general de alguna empresa</t>
  </si>
  <si>
    <t>Alcanzo el éxito en mi carrera sólo si logro autonomía y libertad plena</t>
  </si>
  <si>
    <t>Busco trabajo dentro de organizaciones que me proporcionen seguridad y estabilidad</t>
  </si>
  <si>
    <t>Me encuentro más satisfecho con mi carrera cuando he creado algo que es el resultado de mis propias ideas y esfuerzos</t>
  </si>
  <si>
    <t>Es más importante para mí utilizar mis capacidades para crear un mundo donde se viva y trabaje mejor que tener un puesto directivo de alto nivel</t>
  </si>
  <si>
    <t>Me he encontrado más satisfecho en mi carrera cuando he resuelto problemas aparentemente sin solución o he vencido cuando parecía imposible hacerlo</t>
  </si>
  <si>
    <t>Preferiría dejar mi empresa antes que aceptar un proyecto que me obligara a dejar mi área de especialización</t>
  </si>
  <si>
    <t>Me atrae más llegar a ser director general que un directivo senior dentro de mi área de especialización</t>
  </si>
  <si>
    <t>La oportunidad de realizar un trabajo según mis propios criterios, sin normas y limitaciones es más importante para mí que la seguridad</t>
  </si>
  <si>
    <t>Me encuentro satisfecho con mi vida sólo cuando consigo alcanzar un equilibrio entre las exigencias de mi vida personal, familiar y profesional</t>
  </si>
  <si>
    <t>Me encuentro más satisfecho con mi trabajo cuando considero que he alcanzado seguridad financiera y profesional</t>
  </si>
  <si>
    <t>Considero que alcanzo el éxito en mi carrera sólo si consigo crear o construir algo que es completamente mi propio producto o idea</t>
  </si>
  <si>
    <t>Me gustaría tener una carrera que suponga una gran contribución a la humanidad y a la sociedad</t>
  </si>
  <si>
    <t>Busco oportunidades de trabajo que pongan a prueba mi capacidad para resolver problemas o para competir</t>
  </si>
  <si>
    <t>Encontrar el equilibrio entre las exigencias de mi vida personal y profesional es más importante que conseguir un puesto directivo de alto nivel</t>
  </si>
  <si>
    <t>Me encuentro más satisfecho con mi trabajo cuando tengo oportunidad de usar mis capacidades y talentos</t>
  </si>
  <si>
    <t>Preferiría dejar mi empresa antes que aceptar un puesto que me aleje del camino hacia la dirección general</t>
  </si>
  <si>
    <t>Preferiría dejar mi empresa antes que aceptar un puesto que limite mi autonomía y libertad</t>
  </si>
  <si>
    <t>Me gustaría tener una carrera que me permita sentir un cierto nivel de seguridad y estabilidad</t>
  </si>
  <si>
    <t>Me gustaría crear y construir mi propio negocio</t>
  </si>
  <si>
    <t>Preferiría dejar mi empresa antes que aceptar un proyecto que imitara mi capacidad de ayudar a los demás</t>
  </si>
  <si>
    <t>Trabajar con problemas que aparentemente no tienen solución es más importante que alcanzar un puesto directivo de alto nivel</t>
  </si>
  <si>
    <t>He buscado siempre oportunidades profesionales que no interfieran demasiado con mis preocupaciones personales y familiares</t>
  </si>
  <si>
    <t>Ancla</t>
  </si>
  <si>
    <t>Puntuación total</t>
  </si>
  <si>
    <t>Media</t>
  </si>
  <si>
    <t>Técnico/Funcional</t>
  </si>
  <si>
    <t>Dirección General</t>
  </si>
  <si>
    <t>Seguridad/Estabilidad</t>
  </si>
  <si>
    <t>Autonomía/Independencia</t>
  </si>
  <si>
    <t>Creatividad emprendedora</t>
  </si>
  <si>
    <t>Servicio/Dedicación</t>
  </si>
  <si>
    <t>Puro reto</t>
  </si>
  <si>
    <t>Estilo de vida</t>
  </si>
  <si>
    <t>Ranking</t>
  </si>
  <si>
    <t>Elige sólo 3 preguntas con máxima veracidad (4 puntos)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</si>
</sst>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workbookViewId="0">
      <pane xSplit="3" ySplit="3" topLeftCell="D34" activePane="bottomRight" state="frozen"/>
      <selection pane="topRight" activeCell="C1" sqref="C1"/>
      <selection pane="bottomLeft" activeCell="A4" sqref="A4"/>
      <selection pane="bottomRight" activeCell="B42" sqref="B42"/>
    </sheetView>
  </sheetViews>
  <sheetFormatPr baseColWidth="10" defaultRowHeight="14.5" x14ac:dyDescent="0.35"/>
  <cols>
    <col min="1" max="1" width="23.453125" style="2" customWidth="1"/>
    <col min="2" max="2" width="29.1796875" style="2" customWidth="1"/>
    <col min="3" max="3" width="9.453125" style="2" customWidth="1"/>
    <col min="4" max="4" width="104.7265625" style="4" customWidth="1"/>
  </cols>
  <sheetData>
    <row r="1" spans="1:4" ht="21" x14ac:dyDescent="0.5">
      <c r="A1" s="7" t="s">
        <v>0</v>
      </c>
      <c r="B1" s="7"/>
      <c r="C1" s="3"/>
    </row>
    <row r="3" spans="1:4" ht="45" customHeight="1" x14ac:dyDescent="0.35">
      <c r="A3" s="5" t="s">
        <v>1</v>
      </c>
      <c r="B3" s="5" t="s">
        <v>57</v>
      </c>
      <c r="C3" s="5" t="s">
        <v>3</v>
      </c>
      <c r="D3" s="1" t="s">
        <v>2</v>
      </c>
    </row>
    <row r="4" spans="1:4" x14ac:dyDescent="0.35">
      <c r="A4" s="6">
        <v>4</v>
      </c>
      <c r="B4" s="6"/>
      <c r="C4" s="6">
        <v>1</v>
      </c>
      <c r="D4" s="9" t="s">
        <v>5</v>
      </c>
    </row>
    <row r="5" spans="1:4" x14ac:dyDescent="0.35">
      <c r="A5" s="6">
        <v>4</v>
      </c>
      <c r="B5" s="6"/>
      <c r="C5" s="6">
        <v>2</v>
      </c>
      <c r="D5" s="9" t="s">
        <v>6</v>
      </c>
    </row>
    <row r="6" spans="1:4" x14ac:dyDescent="0.35">
      <c r="A6" s="6">
        <v>6</v>
      </c>
      <c r="B6" s="6">
        <v>4</v>
      </c>
      <c r="C6" s="6">
        <v>3</v>
      </c>
      <c r="D6" s="9" t="s">
        <v>7</v>
      </c>
    </row>
    <row r="7" spans="1:4" x14ac:dyDescent="0.35">
      <c r="A7" s="6">
        <v>5</v>
      </c>
      <c r="B7" s="6"/>
      <c r="C7" s="6">
        <v>4</v>
      </c>
      <c r="D7" s="9" t="s">
        <v>8</v>
      </c>
    </row>
    <row r="8" spans="1:4" x14ac:dyDescent="0.35">
      <c r="A8" s="6">
        <v>5</v>
      </c>
      <c r="B8" s="6"/>
      <c r="C8" s="6">
        <v>5</v>
      </c>
      <c r="D8" s="9" t="s">
        <v>9</v>
      </c>
    </row>
    <row r="9" spans="1:4" x14ac:dyDescent="0.35">
      <c r="A9" s="6">
        <v>4</v>
      </c>
      <c r="B9" s="6"/>
      <c r="C9" s="6">
        <v>6</v>
      </c>
      <c r="D9" s="9" t="s">
        <v>10</v>
      </c>
    </row>
    <row r="10" spans="1:4" x14ac:dyDescent="0.35">
      <c r="A10" s="6">
        <v>3</v>
      </c>
      <c r="B10" s="6"/>
      <c r="C10" s="6">
        <v>7</v>
      </c>
      <c r="D10" s="9" t="s">
        <v>11</v>
      </c>
    </row>
    <row r="11" spans="1:4" x14ac:dyDescent="0.35">
      <c r="A11" s="6">
        <v>3</v>
      </c>
      <c r="B11" s="6"/>
      <c r="C11" s="6">
        <v>8</v>
      </c>
      <c r="D11" s="9" t="s">
        <v>12</v>
      </c>
    </row>
    <row r="12" spans="1:4" x14ac:dyDescent="0.35">
      <c r="A12" s="6">
        <v>2</v>
      </c>
      <c r="B12" s="6"/>
      <c r="C12" s="6">
        <v>9</v>
      </c>
      <c r="D12" s="9" t="s">
        <v>13</v>
      </c>
    </row>
    <row r="13" spans="1:4" x14ac:dyDescent="0.35">
      <c r="A13" s="6">
        <v>1</v>
      </c>
      <c r="B13" s="6"/>
      <c r="C13" s="6">
        <v>10</v>
      </c>
      <c r="D13" s="9" t="s">
        <v>14</v>
      </c>
    </row>
    <row r="14" spans="1:4" x14ac:dyDescent="0.35">
      <c r="A14" s="6">
        <v>5</v>
      </c>
      <c r="B14" s="6"/>
      <c r="C14" s="6">
        <v>11</v>
      </c>
      <c r="D14" s="9" t="s">
        <v>15</v>
      </c>
    </row>
    <row r="15" spans="1:4" x14ac:dyDescent="0.35">
      <c r="A15" s="6">
        <v>3</v>
      </c>
      <c r="B15" s="6"/>
      <c r="C15" s="6">
        <v>12</v>
      </c>
      <c r="D15" s="9" t="s">
        <v>16</v>
      </c>
    </row>
    <row r="16" spans="1:4" x14ac:dyDescent="0.35">
      <c r="A16" s="6">
        <v>6</v>
      </c>
      <c r="B16" s="6"/>
      <c r="C16" s="6">
        <v>13</v>
      </c>
      <c r="D16" s="9" t="s">
        <v>17</v>
      </c>
    </row>
    <row r="17" spans="1:4" x14ac:dyDescent="0.35">
      <c r="A17" s="6">
        <v>4</v>
      </c>
      <c r="B17" s="6"/>
      <c r="C17" s="6">
        <v>14</v>
      </c>
      <c r="D17" s="9" t="s">
        <v>18</v>
      </c>
    </row>
    <row r="18" spans="1:4" x14ac:dyDescent="0.35">
      <c r="A18" s="6">
        <v>2</v>
      </c>
      <c r="B18" s="6"/>
      <c r="C18" s="6">
        <v>15</v>
      </c>
      <c r="D18" s="9" t="s">
        <v>20</v>
      </c>
    </row>
    <row r="19" spans="1:4" x14ac:dyDescent="0.35">
      <c r="A19" s="6">
        <v>6</v>
      </c>
      <c r="B19" s="6">
        <v>4</v>
      </c>
      <c r="C19" s="6">
        <v>16</v>
      </c>
      <c r="D19" s="9" t="s">
        <v>19</v>
      </c>
    </row>
    <row r="20" spans="1:4" x14ac:dyDescent="0.35">
      <c r="A20" s="6">
        <v>2</v>
      </c>
      <c r="B20" s="6"/>
      <c r="C20" s="6">
        <v>17</v>
      </c>
      <c r="D20" s="9" t="s">
        <v>21</v>
      </c>
    </row>
    <row r="21" spans="1:4" x14ac:dyDescent="0.35">
      <c r="A21" s="6"/>
      <c r="B21" s="6"/>
      <c r="C21" s="6">
        <v>18</v>
      </c>
      <c r="D21" s="9" t="s">
        <v>22</v>
      </c>
    </row>
    <row r="22" spans="1:4" x14ac:dyDescent="0.35">
      <c r="A22" s="6">
        <v>6</v>
      </c>
      <c r="B22" s="6">
        <v>4</v>
      </c>
      <c r="C22" s="6">
        <v>19</v>
      </c>
      <c r="D22" s="9" t="s">
        <v>23</v>
      </c>
    </row>
    <row r="23" spans="1:4" x14ac:dyDescent="0.35">
      <c r="A23" s="6">
        <v>3</v>
      </c>
      <c r="B23" s="6"/>
      <c r="C23" s="6">
        <v>20</v>
      </c>
      <c r="D23" s="9" t="s">
        <v>24</v>
      </c>
    </row>
    <row r="24" spans="1:4" x14ac:dyDescent="0.35">
      <c r="A24" s="6">
        <v>5</v>
      </c>
      <c r="B24" s="6"/>
      <c r="C24" s="6">
        <v>21</v>
      </c>
      <c r="D24" s="9" t="s">
        <v>25</v>
      </c>
    </row>
    <row r="25" spans="1:4" ht="29" x14ac:dyDescent="0.35">
      <c r="A25" s="6">
        <v>2</v>
      </c>
      <c r="B25" s="6"/>
      <c r="C25" s="6">
        <v>22</v>
      </c>
      <c r="D25" s="9" t="s">
        <v>26</v>
      </c>
    </row>
    <row r="26" spans="1:4" ht="29" x14ac:dyDescent="0.35">
      <c r="A26" s="6">
        <v>3</v>
      </c>
      <c r="B26" s="6"/>
      <c r="C26" s="6">
        <v>23</v>
      </c>
      <c r="D26" s="9" t="s">
        <v>27</v>
      </c>
    </row>
    <row r="27" spans="1:4" ht="29" x14ac:dyDescent="0.35">
      <c r="A27" s="6">
        <v>3</v>
      </c>
      <c r="B27" s="6"/>
      <c r="C27" s="6">
        <v>24</v>
      </c>
      <c r="D27" s="9" t="s">
        <v>31</v>
      </c>
    </row>
    <row r="28" spans="1:4" x14ac:dyDescent="0.35">
      <c r="A28" s="6">
        <v>2</v>
      </c>
      <c r="B28" s="6"/>
      <c r="C28" s="6">
        <v>25</v>
      </c>
      <c r="D28" s="9" t="s">
        <v>28</v>
      </c>
    </row>
    <row r="29" spans="1:4" x14ac:dyDescent="0.35">
      <c r="A29" s="6">
        <v>6</v>
      </c>
      <c r="B29" s="6"/>
      <c r="C29" s="6">
        <v>26</v>
      </c>
      <c r="D29" s="9" t="s">
        <v>29</v>
      </c>
    </row>
    <row r="30" spans="1:4" ht="29" x14ac:dyDescent="0.35">
      <c r="A30" s="6">
        <v>6</v>
      </c>
      <c r="B30" s="6"/>
      <c r="C30" s="6">
        <v>27</v>
      </c>
      <c r="D30" s="9" t="s">
        <v>30</v>
      </c>
    </row>
    <row r="31" spans="1:4" x14ac:dyDescent="0.35">
      <c r="A31" s="6">
        <v>6</v>
      </c>
      <c r="B31" s="6"/>
      <c r="C31" s="6">
        <v>28</v>
      </c>
      <c r="D31" s="9" t="s">
        <v>32</v>
      </c>
    </row>
    <row r="32" spans="1:4" ht="29" x14ac:dyDescent="0.35">
      <c r="A32" s="6">
        <v>5</v>
      </c>
      <c r="B32" s="6"/>
      <c r="C32" s="6">
        <v>29</v>
      </c>
      <c r="D32" s="9" t="s">
        <v>33</v>
      </c>
    </row>
    <row r="33" spans="1:4" x14ac:dyDescent="0.35">
      <c r="A33" s="6">
        <v>5</v>
      </c>
      <c r="B33" s="6"/>
      <c r="C33" s="6">
        <v>30</v>
      </c>
      <c r="D33" s="9" t="s">
        <v>34</v>
      </c>
    </row>
    <row r="34" spans="1:4" x14ac:dyDescent="0.35">
      <c r="A34" s="6">
        <v>3</v>
      </c>
      <c r="B34" s="6"/>
      <c r="C34" s="6">
        <v>31</v>
      </c>
      <c r="D34" s="9" t="s">
        <v>35</v>
      </c>
    </row>
    <row r="35" spans="1:4" ht="29" x14ac:dyDescent="0.35">
      <c r="A35" s="6">
        <v>4</v>
      </c>
      <c r="B35" s="6"/>
      <c r="C35" s="6">
        <v>32</v>
      </c>
      <c r="D35" s="9" t="s">
        <v>36</v>
      </c>
    </row>
    <row r="36" spans="1:4" x14ac:dyDescent="0.35">
      <c r="A36" s="6">
        <v>6</v>
      </c>
      <c r="B36" s="6"/>
      <c r="C36" s="6">
        <v>33</v>
      </c>
      <c r="D36" s="9" t="s">
        <v>37</v>
      </c>
    </row>
    <row r="37" spans="1:4" x14ac:dyDescent="0.35">
      <c r="A37" s="6">
        <v>2</v>
      </c>
      <c r="B37" s="6"/>
      <c r="C37" s="6">
        <v>34</v>
      </c>
      <c r="D37" s="9" t="s">
        <v>38</v>
      </c>
    </row>
    <row r="38" spans="1:4" x14ac:dyDescent="0.35">
      <c r="A38" s="6">
        <v>6</v>
      </c>
      <c r="B38" s="6"/>
      <c r="C38" s="6">
        <v>35</v>
      </c>
      <c r="D38" s="9" t="s">
        <v>39</v>
      </c>
    </row>
    <row r="39" spans="1:4" x14ac:dyDescent="0.35">
      <c r="A39" s="6">
        <v>5</v>
      </c>
      <c r="B39" s="6"/>
      <c r="C39" s="6">
        <v>36</v>
      </c>
      <c r="D39" s="9" t="s">
        <v>40</v>
      </c>
    </row>
    <row r="40" spans="1:4" x14ac:dyDescent="0.35">
      <c r="A40" s="6">
        <v>6</v>
      </c>
      <c r="B40" s="6">
        <v>4</v>
      </c>
      <c r="C40" s="6">
        <v>37</v>
      </c>
      <c r="D40" s="9" t="s">
        <v>41</v>
      </c>
    </row>
    <row r="41" spans="1:4" x14ac:dyDescent="0.35">
      <c r="A41" s="6">
        <v>4</v>
      </c>
      <c r="B41" s="6"/>
      <c r="C41" s="6">
        <v>38</v>
      </c>
      <c r="D41" s="9" t="s">
        <v>42</v>
      </c>
    </row>
    <row r="42" spans="1:4" ht="29" x14ac:dyDescent="0.35">
      <c r="A42" s="6">
        <v>3</v>
      </c>
      <c r="B42" s="6"/>
      <c r="C42" s="6">
        <v>39</v>
      </c>
      <c r="D42" s="9" t="s">
        <v>43</v>
      </c>
    </row>
    <row r="43" spans="1:4" ht="29" x14ac:dyDescent="0.35">
      <c r="A43" s="6">
        <v>2</v>
      </c>
      <c r="B43" s="6"/>
      <c r="C43" s="6">
        <v>40</v>
      </c>
      <c r="D43" s="9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workbookViewId="0">
      <selection activeCell="G11" sqref="G11"/>
    </sheetView>
  </sheetViews>
  <sheetFormatPr baseColWidth="10" defaultRowHeight="14.5" x14ac:dyDescent="0.35"/>
  <cols>
    <col min="1" max="1" width="29.453125" customWidth="1"/>
    <col min="2" max="2" width="21.453125" customWidth="1"/>
    <col min="3" max="3" width="18.1796875" customWidth="1"/>
    <col min="4" max="4" width="17" customWidth="1"/>
  </cols>
  <sheetData>
    <row r="1" spans="1:4" ht="21" x14ac:dyDescent="0.5">
      <c r="A1" s="8" t="s">
        <v>4</v>
      </c>
    </row>
    <row r="3" spans="1:4" ht="15.5" x14ac:dyDescent="0.35">
      <c r="A3" s="10" t="s">
        <v>45</v>
      </c>
      <c r="B3" s="10" t="s">
        <v>46</v>
      </c>
      <c r="C3" s="10" t="s">
        <v>47</v>
      </c>
      <c r="D3" s="10" t="s">
        <v>56</v>
      </c>
    </row>
    <row r="4" spans="1:4" ht="15.5" x14ac:dyDescent="0.35">
      <c r="A4" s="11" t="s">
        <v>48</v>
      </c>
      <c r="B4" s="12">
        <f>+Preguntas!A4+Preguntas!A12+Preguntas!A20+Preguntas!A28+Preguntas!A36++Preguntas!B4+Preguntas!B12+Preguntas!B20+Preguntas!B28+Preguntas!B36</f>
        <v>16</v>
      </c>
      <c r="C4" s="13">
        <f>+B4/5</f>
        <v>3.2</v>
      </c>
      <c r="D4" s="12">
        <f>RANK(C4,$C$4:$C$11)</f>
        <v>6</v>
      </c>
    </row>
    <row r="5" spans="1:4" ht="15.5" x14ac:dyDescent="0.35">
      <c r="A5" s="11" t="s">
        <v>49</v>
      </c>
      <c r="B5" s="12">
        <f>+Preguntas!A5+Preguntas!A13+Preguntas!A21+Preguntas!A29+Preguntas!A37++Preguntas!B5+Preguntas!B13+Preguntas!B21+Preguntas!B29+Preguntas!B37</f>
        <v>13</v>
      </c>
      <c r="C5" s="13">
        <f t="shared" ref="C5:C11" si="0">+B5/5</f>
        <v>2.6</v>
      </c>
      <c r="D5" s="12">
        <f t="shared" ref="D5:D11" si="1">RANK(C5,$C$4:$C$11)</f>
        <v>8</v>
      </c>
    </row>
    <row r="6" spans="1:4" ht="15.5" x14ac:dyDescent="0.35">
      <c r="A6" s="11" t="s">
        <v>51</v>
      </c>
      <c r="B6" s="12">
        <f>+Preguntas!A6+Preguntas!A14+Preguntas!A22+Preguntas!A30+Preguntas!A38++Preguntas!B6+Preguntas!B14+Preguntas!B22+Preguntas!B30+Preguntas!B38</f>
        <v>37</v>
      </c>
      <c r="C6" s="13">
        <f t="shared" si="0"/>
        <v>7.4</v>
      </c>
      <c r="D6" s="12">
        <f t="shared" si="1"/>
        <v>1</v>
      </c>
    </row>
    <row r="7" spans="1:4" ht="15.5" x14ac:dyDescent="0.35">
      <c r="A7" s="11" t="s">
        <v>50</v>
      </c>
      <c r="B7" s="12">
        <f>+Preguntas!A7+Preguntas!A15+Preguntas!A23+Preguntas!A31+Preguntas!A39++Preguntas!B7+Preguntas!B15+Preguntas!B23+Preguntas!B31+Preguntas!B39</f>
        <v>22</v>
      </c>
      <c r="C7" s="13">
        <f t="shared" si="0"/>
        <v>4.4000000000000004</v>
      </c>
      <c r="D7" s="12">
        <f t="shared" si="1"/>
        <v>3</v>
      </c>
    </row>
    <row r="8" spans="1:4" ht="15.5" x14ac:dyDescent="0.35">
      <c r="A8" s="11" t="s">
        <v>52</v>
      </c>
      <c r="B8" s="12">
        <f>+Preguntas!A8+Preguntas!A16+Preguntas!A24+Preguntas!A32+Preguntas!A40++Preguntas!B8+Preguntas!B16+Preguntas!B24+Preguntas!B32+Preguntas!B40</f>
        <v>31</v>
      </c>
      <c r="C8" s="13">
        <f t="shared" si="0"/>
        <v>6.2</v>
      </c>
      <c r="D8" s="12">
        <f t="shared" si="1"/>
        <v>2</v>
      </c>
    </row>
    <row r="9" spans="1:4" ht="15.5" x14ac:dyDescent="0.35">
      <c r="A9" s="11" t="s">
        <v>53</v>
      </c>
      <c r="B9" s="12">
        <f>+Preguntas!A9+Preguntas!A17+Preguntas!A25+Preguntas!A33+Preguntas!A41++Preguntas!B9+Preguntas!B17+Preguntas!B25+Preguntas!B33+Preguntas!B41</f>
        <v>19</v>
      </c>
      <c r="C9" s="13">
        <f t="shared" si="0"/>
        <v>3.8</v>
      </c>
      <c r="D9" s="12">
        <f t="shared" si="1"/>
        <v>5</v>
      </c>
    </row>
    <row r="10" spans="1:4" ht="15.5" x14ac:dyDescent="0.35">
      <c r="A10" s="11" t="s">
        <v>54</v>
      </c>
      <c r="B10" s="12">
        <f>+Preguntas!A10+Preguntas!A18+Preguntas!A26+Preguntas!A34+Preguntas!A42++Preguntas!B10+Preguntas!B18+Preguntas!B26+Preguntas!B34+Preguntas!B42</f>
        <v>14</v>
      </c>
      <c r="C10" s="13">
        <f t="shared" si="0"/>
        <v>2.8</v>
      </c>
      <c r="D10" s="12">
        <f t="shared" si="1"/>
        <v>7</v>
      </c>
    </row>
    <row r="11" spans="1:4" ht="15.5" x14ac:dyDescent="0.35">
      <c r="A11" s="11" t="s">
        <v>55</v>
      </c>
      <c r="B11" s="12">
        <f>+Preguntas!A11+Preguntas!A19+Preguntas!A27+Preguntas!A35+Preguntas!A43++Preguntas!B11+Preguntas!B19+Preguntas!B27+Preguntas!B35+Preguntas!B43</f>
        <v>22</v>
      </c>
      <c r="C11" s="13">
        <f t="shared" si="0"/>
        <v>4.4000000000000004</v>
      </c>
      <c r="D11" s="12">
        <f t="shared" si="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cpsvcp</dc:creator>
  <cp:lastModifiedBy>T470</cp:lastModifiedBy>
  <dcterms:created xsi:type="dcterms:W3CDTF">2012-10-29T22:35:33Z</dcterms:created>
  <dcterms:modified xsi:type="dcterms:W3CDTF">2026-02-21T22:12:10Z</dcterms:modified>
</cp:coreProperties>
</file>